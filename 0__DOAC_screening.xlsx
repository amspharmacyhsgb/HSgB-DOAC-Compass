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epartment\Farmasi\Clinical\JK ANTIBIOTIK\Izy Parking\NOAC Info\"/>
    </mc:Choice>
  </mc:AlternateContent>
  <xr:revisionPtr revIDLastSave="0" documentId="8_{90E43957-1D69-4374-B3A9-023B8C725BEA}" xr6:coauthVersionLast="47" xr6:coauthVersionMax="47" xr10:uidLastSave="{00000000-0000-0000-0000-000000000000}"/>
  <bookViews>
    <workbookView xWindow="1815" yWindow="1815" windowWidth="18000" windowHeight="9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" l="1"/>
  <c r="D34" i="1"/>
  <c r="D32" i="1"/>
  <c r="D33" i="1"/>
  <c r="D29" i="1"/>
  <c r="D30" i="1"/>
  <c r="D26" i="1"/>
  <c r="D31" i="1"/>
  <c r="D24" i="1"/>
  <c r="D27" i="1"/>
  <c r="D28" i="1"/>
  <c r="D25" i="1"/>
  <c r="D23" i="1"/>
  <c r="D22" i="1"/>
  <c r="D21" i="1"/>
  <c r="D20" i="1"/>
</calcChain>
</file>

<file path=xl/sharedStrings.xml><?xml version="1.0" encoding="utf-8"?>
<sst xmlns="http://schemas.openxmlformats.org/spreadsheetml/2006/main" count="54" uniqueCount="37">
  <si>
    <t xml:space="preserve">CONTRAINDICATION </t>
  </si>
  <si>
    <t>Pregnancy</t>
  </si>
  <si>
    <t>Lactation</t>
  </si>
  <si>
    <t>Mechanical valve replacement</t>
  </si>
  <si>
    <t>Active bleeding</t>
  </si>
  <si>
    <t>Age &lt;18 years</t>
  </si>
  <si>
    <t>Yes</t>
  </si>
  <si>
    <t>No</t>
  </si>
  <si>
    <t>Ryles Tube / Nasogastric</t>
  </si>
  <si>
    <t>DOACs to avoid</t>
  </si>
  <si>
    <t>Severe Obesity (BMI &gt;40 or &gt;120kg)</t>
  </si>
  <si>
    <t>Underweight (&lt;60kg)</t>
  </si>
  <si>
    <t>CrCl &lt;30ml/min</t>
  </si>
  <si>
    <t>Hemodialysis or CrCl&lt;15ml/min</t>
  </si>
  <si>
    <t>Poor compliance to BD dosing</t>
  </si>
  <si>
    <t>Allergy / Hypersensitivity</t>
  </si>
  <si>
    <t>Chronic liver disease (Child Pugh B)</t>
  </si>
  <si>
    <t>Chronic liver disease (Child Pugh C)</t>
  </si>
  <si>
    <t>INDICATION</t>
  </si>
  <si>
    <t>METHOD OF SUPPLY</t>
  </si>
  <si>
    <t>Formulary Quota / Pensioner / Self-purchase</t>
  </si>
  <si>
    <t>SPECIAL PATIENTS PROFILE</t>
  </si>
  <si>
    <t>* ensure discussion with specialist</t>
  </si>
  <si>
    <t>Specialist input for alternatives</t>
  </si>
  <si>
    <t>Cancer-associated VTE</t>
  </si>
  <si>
    <t>BLEEDING RISK ASSESSMENT</t>
  </si>
  <si>
    <t>HASBLED</t>
  </si>
  <si>
    <t>INR &gt; 2</t>
  </si>
  <si>
    <t>INR &gt; 3</t>
  </si>
  <si>
    <t>DVT/PE with INR &gt; 2.5</t>
  </si>
  <si>
    <t>CAUTION</t>
  </si>
  <si>
    <t>Thrombocytopenia</t>
  </si>
  <si>
    <t xml:space="preserve">Concomitant Phenytoin / Rifampicin / Carbamazepine </t>
  </si>
  <si>
    <t>Select YES / NO in box</t>
  </si>
  <si>
    <t>Please fill</t>
  </si>
  <si>
    <r>
      <t>Acute transaminitis with ALT/AST &gt;</t>
    </r>
    <r>
      <rPr>
        <b/>
        <sz val="11"/>
        <color theme="5" tint="-0.249977111117893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XUL </t>
    </r>
  </si>
  <si>
    <r>
      <t>Acute transaminitis with ALT/AST &gt;</t>
    </r>
    <r>
      <rPr>
        <b/>
        <sz val="11"/>
        <color theme="5" tint="-0.249977111117893"/>
        <rFont val="Calibri"/>
        <family val="2"/>
        <scheme val="minor"/>
      </rPr>
      <t>2-3</t>
    </r>
    <r>
      <rPr>
        <sz val="11"/>
        <color theme="1"/>
        <rFont val="Calibri"/>
        <family val="2"/>
        <scheme val="minor"/>
      </rPr>
      <t xml:space="preserve">XUL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</si>
</sst>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6"/>
  <sheetViews>
    <sheetView tabSelected="1" topLeftCell="A13" zoomScale="90" zoomScaleNormal="90" workbookViewId="0">
      <selection activeCell="D20" sqref="D20"/>
    </sheetView>
  </sheetViews>
  <sheetFormatPr defaultRowHeight="15" x14ac:dyDescent="0.25"/>
  <cols>
    <col min="2" max="2" width="43.7109375" customWidth="1"/>
    <col min="3" max="3" width="11.7109375" customWidth="1"/>
    <col min="4" max="4" width="43" customWidth="1"/>
  </cols>
  <sheetData>
    <row r="2" spans="2:8" x14ac:dyDescent="0.25">
      <c r="B2" s="1" t="s">
        <v>18</v>
      </c>
    </row>
    <row r="3" spans="2:8" x14ac:dyDescent="0.25">
      <c r="B3" s="1"/>
    </row>
    <row r="4" spans="2:8" x14ac:dyDescent="0.25">
      <c r="B4" s="1" t="s">
        <v>19</v>
      </c>
      <c r="D4" s="3" t="s">
        <v>20</v>
      </c>
    </row>
    <row r="6" spans="2:8" x14ac:dyDescent="0.25">
      <c r="B6" s="2" t="s">
        <v>0</v>
      </c>
      <c r="D6" s="6"/>
      <c r="F6" s="9" t="s">
        <v>34</v>
      </c>
      <c r="G6" t="s">
        <v>6</v>
      </c>
      <c r="H6" t="s">
        <v>7</v>
      </c>
    </row>
    <row r="7" spans="2:8" ht="14.25" customHeight="1" x14ac:dyDescent="0.25">
      <c r="B7" t="s">
        <v>1</v>
      </c>
      <c r="C7" s="18" t="s">
        <v>23</v>
      </c>
    </row>
    <row r="8" spans="2:8" x14ac:dyDescent="0.25">
      <c r="B8" t="s">
        <v>2</v>
      </c>
      <c r="C8" s="18"/>
    </row>
    <row r="9" spans="2:8" x14ac:dyDescent="0.25">
      <c r="B9" t="s">
        <v>3</v>
      </c>
      <c r="C9" s="18"/>
    </row>
    <row r="10" spans="2:8" x14ac:dyDescent="0.25">
      <c r="B10" t="s">
        <v>15</v>
      </c>
      <c r="C10" s="18"/>
    </row>
    <row r="11" spans="2:8" x14ac:dyDescent="0.25">
      <c r="B11" t="s">
        <v>4</v>
      </c>
      <c r="C11" s="18"/>
    </row>
    <row r="12" spans="2:8" x14ac:dyDescent="0.25">
      <c r="B12" s="1" t="s">
        <v>30</v>
      </c>
      <c r="C12" s="18"/>
    </row>
    <row r="13" spans="2:8" x14ac:dyDescent="0.25">
      <c r="B13" t="s">
        <v>31</v>
      </c>
      <c r="C13" s="18"/>
    </row>
    <row r="15" spans="2:8" x14ac:dyDescent="0.25">
      <c r="B15" s="15" t="s">
        <v>25</v>
      </c>
      <c r="C15" s="16" t="s">
        <v>26</v>
      </c>
      <c r="D15" s="17"/>
    </row>
    <row r="16" spans="2:8" x14ac:dyDescent="0.25">
      <c r="B16" s="1"/>
      <c r="C16" s="3"/>
    </row>
    <row r="17" spans="1:5" ht="31.9" customHeight="1" x14ac:dyDescent="0.25">
      <c r="C17" s="8" t="s">
        <v>33</v>
      </c>
    </row>
    <row r="18" spans="1:5" x14ac:dyDescent="0.25">
      <c r="B18" s="2" t="s">
        <v>21</v>
      </c>
      <c r="C18" s="4" t="s">
        <v>6</v>
      </c>
      <c r="D18" s="7" t="s">
        <v>9</v>
      </c>
      <c r="E18" s="5"/>
    </row>
    <row r="19" spans="1:5" ht="22.9" customHeight="1" thickBot="1" x14ac:dyDescent="0.3">
      <c r="B19" s="2" t="s">
        <v>22</v>
      </c>
      <c r="C19" s="4"/>
      <c r="D19" s="4"/>
      <c r="E19" s="5"/>
    </row>
    <row r="20" spans="1:5" ht="16.5" thickTop="1" thickBot="1" x14ac:dyDescent="0.3">
      <c r="B20" t="s">
        <v>5</v>
      </c>
      <c r="C20" s="10" t="s">
        <v>6</v>
      </c>
      <c r="D20" s="3" t="str">
        <f>IF(C20=C18, "Dabigatran Apixaban", "Use Any")</f>
        <v>Dabigatran Apixaban</v>
      </c>
    </row>
    <row r="21" spans="1:5" ht="16.5" thickTop="1" thickBot="1" x14ac:dyDescent="0.3">
      <c r="B21" t="s">
        <v>8</v>
      </c>
      <c r="C21" s="10" t="s">
        <v>34</v>
      </c>
      <c r="D21" s="3" t="str">
        <f>IF(C21=C18, "Dabigatran", "Use Any")</f>
        <v>Use Any</v>
      </c>
    </row>
    <row r="22" spans="1:5" ht="16.5" thickTop="1" thickBot="1" x14ac:dyDescent="0.3">
      <c r="A22" s="14"/>
      <c r="B22" t="s">
        <v>12</v>
      </c>
      <c r="C22" s="10" t="s">
        <v>34</v>
      </c>
      <c r="D22" s="3" t="str">
        <f>IF(C22=C18, "Dabigatran", "Use Any")</f>
        <v>Use Any</v>
      </c>
    </row>
    <row r="23" spans="1:5" ht="16.5" thickTop="1" thickBot="1" x14ac:dyDescent="0.3">
      <c r="A23" s="14"/>
      <c r="B23" t="s">
        <v>13</v>
      </c>
      <c r="C23" s="10" t="s">
        <v>34</v>
      </c>
      <c r="D23" s="3" t="str">
        <f>IF(C23=C18, "Dabigatran Rivaroxaban", "Use Any")</f>
        <v>Use Any</v>
      </c>
    </row>
    <row r="24" spans="1:5" ht="16.5" thickTop="1" thickBot="1" x14ac:dyDescent="0.3">
      <c r="B24" t="s">
        <v>10</v>
      </c>
      <c r="C24" s="10" t="s">
        <v>34</v>
      </c>
      <c r="D24" s="3" t="str">
        <f>IF(C24=C18, "Dabigatran", "Use Any")</f>
        <v>Use Any</v>
      </c>
    </row>
    <row r="25" spans="1:5" ht="16.5" thickTop="1" thickBot="1" x14ac:dyDescent="0.3">
      <c r="B25" t="s">
        <v>11</v>
      </c>
      <c r="C25" s="10" t="s">
        <v>34</v>
      </c>
      <c r="D25" s="3" t="str">
        <f>IF(C25=C18, "Dabigatran Rivaroxaban", "Use Any")</f>
        <v>Use Any</v>
      </c>
    </row>
    <row r="26" spans="1:5" ht="16.5" thickTop="1" thickBot="1" x14ac:dyDescent="0.3">
      <c r="A26" s="14"/>
      <c r="B26" t="s">
        <v>14</v>
      </c>
      <c r="C26" s="10" t="s">
        <v>34</v>
      </c>
      <c r="D26" s="3" t="str">
        <f>IF(C26=C18, "Dabigatran Apixaban", "Use Any")</f>
        <v>Use Any</v>
      </c>
    </row>
    <row r="27" spans="1:5" ht="16.5" thickTop="1" thickBot="1" x14ac:dyDescent="0.3">
      <c r="B27" s="13" t="s">
        <v>36</v>
      </c>
      <c r="C27" s="10" t="s">
        <v>34</v>
      </c>
      <c r="D27" s="3" t="str">
        <f>IF(C27=C18, "Dabigatran Rivaroxaban", "Use Any")</f>
        <v>Use Any</v>
      </c>
    </row>
    <row r="28" spans="1:5" ht="16.5" thickTop="1" thickBot="1" x14ac:dyDescent="0.3">
      <c r="B28" s="13" t="s">
        <v>35</v>
      </c>
      <c r="C28" s="10" t="s">
        <v>34</v>
      </c>
      <c r="D28" s="3" t="str">
        <f>IF(C28=C18, "Rivaroxaban", "Use Any")</f>
        <v>Use Any</v>
      </c>
    </row>
    <row r="29" spans="1:5" ht="16.5" thickTop="1" thickBot="1" x14ac:dyDescent="0.3">
      <c r="A29" s="14"/>
      <c r="B29" t="s">
        <v>16</v>
      </c>
      <c r="C29" s="10" t="s">
        <v>34</v>
      </c>
      <c r="D29" s="3" t="str">
        <f>IF(C29=C18, "Rivaroxaban", "Use Any")</f>
        <v>Use Any</v>
      </c>
    </row>
    <row r="30" spans="1:5" ht="16.5" thickTop="1" thickBot="1" x14ac:dyDescent="0.3">
      <c r="A30" s="14"/>
      <c r="B30" t="s">
        <v>17</v>
      </c>
      <c r="C30" s="10" t="s">
        <v>34</v>
      </c>
      <c r="D30" s="3" t="str">
        <f>IF(C30=C18, "Dabigatran Rivaroxaban Apixaban", "Use Any")</f>
        <v>Use Any</v>
      </c>
    </row>
    <row r="31" spans="1:5" ht="16.5" thickTop="1" thickBot="1" x14ac:dyDescent="0.3">
      <c r="B31" t="s">
        <v>24</v>
      </c>
      <c r="C31" s="10" t="s">
        <v>34</v>
      </c>
      <c r="D31" s="3" t="str">
        <f>IF(C31=C18, "Dabigatran", "Use Any")</f>
        <v>Use Any</v>
      </c>
    </row>
    <row r="32" spans="1:5" ht="16.5" thickTop="1" thickBot="1" x14ac:dyDescent="0.3">
      <c r="B32" t="s">
        <v>28</v>
      </c>
      <c r="C32" s="11" t="s">
        <v>34</v>
      </c>
      <c r="D32" s="3" t="str">
        <f>IF(C32=C18, "Dabigatran Rivaroxaban Apixaban", "Use Any")</f>
        <v>Use Any</v>
      </c>
    </row>
    <row r="33" spans="2:4" ht="16.5" thickTop="1" thickBot="1" x14ac:dyDescent="0.3">
      <c r="B33" t="s">
        <v>27</v>
      </c>
      <c r="C33" s="11" t="s">
        <v>34</v>
      </c>
      <c r="D33" s="3" t="str">
        <f>IF(C33=C18, "Dabigatran Apixaban", "Use Any")</f>
        <v>Use Any</v>
      </c>
    </row>
    <row r="34" spans="2:4" ht="16.5" thickTop="1" thickBot="1" x14ac:dyDescent="0.3">
      <c r="B34" t="s">
        <v>29</v>
      </c>
      <c r="C34" s="12" t="s">
        <v>34</v>
      </c>
      <c r="D34" s="3" t="str">
        <f>IF(C34=C18, "Dabigatran Rivaroxaban Apixaban", "Use Any")</f>
        <v>Use Any</v>
      </c>
    </row>
    <row r="35" spans="2:4" ht="16.5" thickTop="1" thickBot="1" x14ac:dyDescent="0.3">
      <c r="B35" t="s">
        <v>32</v>
      </c>
      <c r="C35" s="11" t="s">
        <v>34</v>
      </c>
      <c r="D35" s="3" t="str">
        <f>IF(C35=C18, "Dabigatran Rivaroxaban Apixaban", "Use Any")</f>
        <v>Use Any</v>
      </c>
    </row>
    <row r="36" spans="2:4" ht="15.75" thickTop="1" x14ac:dyDescent="0.25"/>
  </sheetData>
  <mergeCells count="1">
    <mergeCell ref="C7:C13"/>
  </mergeCells>
  <conditionalFormatting sqref="D20">
    <cfRule type="containsText" dxfId="16" priority="17" operator="containsText" text="Dabigatran Apixaban">
      <formula>NOT(ISERROR(SEARCH("Dabigatran Apixaban",D20)))</formula>
    </cfRule>
  </conditionalFormatting>
  <conditionalFormatting sqref="D21:D22">
    <cfRule type="containsText" dxfId="15" priority="16" operator="containsText" text="Dabigatran">
      <formula>NOT(ISERROR(SEARCH("Dabigatran",D21)))</formula>
    </cfRule>
  </conditionalFormatting>
  <conditionalFormatting sqref="D23">
    <cfRule type="containsText" dxfId="14" priority="15" operator="containsText" text="Dabigatran">
      <formula>NOT(ISERROR(SEARCH("Dabigatran",D23)))</formula>
    </cfRule>
  </conditionalFormatting>
  <conditionalFormatting sqref="D24">
    <cfRule type="containsText" dxfId="13" priority="14" operator="containsText" text="Dabigatran">
      <formula>NOT(ISERROR(SEARCH("Dabigatran",D24)))</formula>
    </cfRule>
  </conditionalFormatting>
  <conditionalFormatting sqref="D25">
    <cfRule type="containsText" dxfId="12" priority="13" operator="containsText" text="Dabigatran Rivaroxaban">
      <formula>NOT(ISERROR(SEARCH("Dabigatran Rivaroxaban",D25)))</formula>
    </cfRule>
  </conditionalFormatting>
  <conditionalFormatting sqref="D26">
    <cfRule type="containsText" dxfId="11" priority="12" operator="containsText" text="Dabigatran Apixaban">
      <formula>NOT(ISERROR(SEARCH("Dabigatran Apixaban",D26)))</formula>
    </cfRule>
  </conditionalFormatting>
  <conditionalFormatting sqref="D27">
    <cfRule type="containsText" dxfId="10" priority="11" operator="containsText" text="Dabigatran Rivaroxaban">
      <formula>NOT(ISERROR(SEARCH("Dabigatran Rivaroxaban",D27)))</formula>
    </cfRule>
  </conditionalFormatting>
  <conditionalFormatting sqref="D28">
    <cfRule type="containsText" dxfId="9" priority="10" operator="containsText" text="Rivaroxaban">
      <formula>NOT(ISERROR(SEARCH("Rivaroxaban",D28)))</formula>
    </cfRule>
  </conditionalFormatting>
  <conditionalFormatting sqref="D29">
    <cfRule type="containsText" dxfId="8" priority="9" operator="containsText" text="Rivaroxaban">
      <formula>NOT(ISERROR(SEARCH("Rivaroxaban",D29)))</formula>
    </cfRule>
  </conditionalFormatting>
  <conditionalFormatting sqref="D30">
    <cfRule type="containsText" dxfId="7" priority="8" operator="containsText" text="Dabigatran Rivaroxaban Apixaban">
      <formula>NOT(ISERROR(SEARCH("Dabigatran Rivaroxaban Apixaban",D30)))</formula>
    </cfRule>
  </conditionalFormatting>
  <conditionalFormatting sqref="D31">
    <cfRule type="containsText" dxfId="6" priority="7" operator="containsText" text="Dabigatran">
      <formula>NOT(ISERROR(SEARCH("Dabigatran",D31)))</formula>
    </cfRule>
  </conditionalFormatting>
  <conditionalFormatting sqref="D32">
    <cfRule type="containsText" dxfId="5" priority="6" operator="containsText" text="Dabigatran Rivaroxaban Apixaban">
      <formula>NOT(ISERROR(SEARCH("Dabigatran Rivaroxaban Apixaban",D32)))</formula>
    </cfRule>
  </conditionalFormatting>
  <conditionalFormatting sqref="D33">
    <cfRule type="containsText" dxfId="4" priority="5" operator="containsText" text="Dabigatran Apixaban">
      <formula>NOT(ISERROR(SEARCH("Dabigatran Apixaban",D33)))</formula>
    </cfRule>
  </conditionalFormatting>
  <conditionalFormatting sqref="D34">
    <cfRule type="containsText" dxfId="3" priority="4" operator="containsText" text="Dabigatran Rivaroxaban Apixaban">
      <formula>NOT(ISERROR(SEARCH("Dabigatran Rivaroxaban Apixaban",D34)))</formula>
    </cfRule>
  </conditionalFormatting>
  <conditionalFormatting sqref="D35">
    <cfRule type="containsText" dxfId="2" priority="3" operator="containsText" text="Dabigatran Rivaroxaban Apixaban">
      <formula>NOT(ISERROR(SEARCH("Dabigatran Rivaroxaban Apixaban",D35)))</formula>
    </cfRule>
  </conditionalFormatting>
  <conditionalFormatting sqref="C20:C35">
    <cfRule type="cellIs" dxfId="1" priority="2" operator="equal">
      <formula>$G$6</formula>
    </cfRule>
    <cfRule type="cellIs" dxfId="0" priority="1" operator="equal">
      <formula>$H$6</formula>
    </cfRule>
  </conditionalFormatting>
  <dataValidations count="1">
    <dataValidation type="list" allowBlank="1" showInputMessage="1" showErrorMessage="1" sqref="C20:C35" xr:uid="{00000000-0002-0000-0000-000000000000}">
      <formula1>$F$6:$H$6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Lee</dc:creator>
  <cp:lastModifiedBy>Izyana Munirah Idham</cp:lastModifiedBy>
  <dcterms:created xsi:type="dcterms:W3CDTF">2023-09-07T12:15:12Z</dcterms:created>
  <dcterms:modified xsi:type="dcterms:W3CDTF">2026-04-26T05:08:02Z</dcterms:modified>
</cp:coreProperties>
</file>